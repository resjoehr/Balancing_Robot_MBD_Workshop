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LAB\Content\D2_ModelBasedDesign\M2_Demos\Sigi_Segway\Specs\"/>
    </mc:Choice>
  </mc:AlternateContent>
  <xr:revisionPtr revIDLastSave="0" documentId="13_ncr:1_{E595AF75-F7FD-4CE7-9677-93F6CC30D4C6}" xr6:coauthVersionLast="47" xr6:coauthVersionMax="47" xr10:uidLastSave="{00000000-0000-0000-0000-000000000000}"/>
  <bookViews>
    <workbookView xWindow="-37620" yWindow="1140" windowWidth="14025" windowHeight="15345" xr2:uid="{CB7DCD22-203E-480F-8EAE-73067E91B670}"/>
  </bookViews>
  <sheets>
    <sheet name="Model_Part_Weights" sheetId="1" r:id="rId1"/>
    <sheet name="Measurements V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D16" i="2"/>
  <c r="D15" i="2"/>
  <c r="D14" i="2"/>
  <c r="D13" i="2"/>
  <c r="D12" i="2"/>
  <c r="D11" i="2"/>
  <c r="D10" i="2"/>
  <c r="D9" i="2"/>
  <c r="D8" i="2"/>
  <c r="D7" i="2"/>
  <c r="D6" i="2"/>
  <c r="D5" i="2"/>
  <c r="D4" i="2"/>
  <c r="F23" i="1" l="1"/>
  <c r="D22" i="1"/>
  <c r="D21" i="1"/>
  <c r="D20" i="1"/>
  <c r="D19" i="1"/>
  <c r="D18" i="1"/>
  <c r="D17" i="1"/>
  <c r="D16" i="1"/>
  <c r="D15" i="1"/>
  <c r="D14" i="1"/>
  <c r="D12" i="1"/>
  <c r="D11" i="1"/>
  <c r="D10" i="1"/>
  <c r="D9" i="1"/>
  <c r="D8" i="1"/>
  <c r="D7" i="1"/>
  <c r="D6" i="1"/>
  <c r="D5" i="1"/>
  <c r="D4" i="1"/>
  <c r="D3" i="1"/>
  <c r="D2" i="1"/>
  <c r="D23" i="1" l="1"/>
</calcChain>
</file>

<file path=xl/sharedStrings.xml><?xml version="1.0" encoding="utf-8"?>
<sst xmlns="http://schemas.openxmlformats.org/spreadsheetml/2006/main" count="47" uniqueCount="47">
  <si>
    <t>Parts List</t>
  </si>
  <si>
    <t>Bumper (4x)</t>
  </si>
  <si>
    <t>weight [g]</t>
  </si>
  <si>
    <t>total</t>
  </si>
  <si>
    <t>Barlink (4x)</t>
  </si>
  <si>
    <t>Screws (Bumper, 4x)</t>
  </si>
  <si>
    <t>UpperCase</t>
  </si>
  <si>
    <t>Case_main</t>
  </si>
  <si>
    <t>Lower_Case</t>
  </si>
  <si>
    <t>Arduino</t>
  </si>
  <si>
    <t>Link/Header</t>
  </si>
  <si>
    <t>Raspi</t>
  </si>
  <si>
    <t>RaspiPorts</t>
  </si>
  <si>
    <t>BatteryCase</t>
  </si>
  <si>
    <t>Motors (both)</t>
  </si>
  <si>
    <t>Gearbox</t>
  </si>
  <si>
    <t>BatteryCover</t>
  </si>
  <si>
    <t>ArduinoCAD</t>
  </si>
  <si>
    <t>GPIO_connector</t>
  </si>
  <si>
    <t>Sensors</t>
  </si>
  <si>
    <t>RaspiCAD_Proxy</t>
  </si>
  <si>
    <t>Raspi_CAD Ports</t>
  </si>
  <si>
    <t>Wheel</t>
  </si>
  <si>
    <t>measured: 610</t>
  </si>
  <si>
    <t>real weight</t>
  </si>
  <si>
    <t>complete raspi</t>
  </si>
  <si>
    <t>Battery</t>
  </si>
  <si>
    <t>Part</t>
  </si>
  <si>
    <t>Weight (g)</t>
  </si>
  <si>
    <t>nr pieces</t>
  </si>
  <si>
    <t>Sigi whole</t>
  </si>
  <si>
    <t>plastic white wheel</t>
  </si>
  <si>
    <t>rubber band</t>
  </si>
  <si>
    <t>arduino</t>
  </si>
  <si>
    <t>raspberry</t>
  </si>
  <si>
    <t>splitted 18g ports, 32 g boards</t>
  </si>
  <si>
    <t>motor with gearbox motor</t>
  </si>
  <si>
    <t>plastic wheel gearbox and gearwheels</t>
  </si>
  <si>
    <t>battery case with battery metal holder</t>
  </si>
  <si>
    <t>7g more?</t>
  </si>
  <si>
    <t>battery cover</t>
  </si>
  <si>
    <t>top sensor row</t>
  </si>
  <si>
    <t>gpio connector</t>
  </si>
  <si>
    <t>half bumber with screw</t>
  </si>
  <si>
    <t>bumber spacer</t>
  </si>
  <si>
    <t>battery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</si>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</sst>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8F2A-59CA-4EFD-A265-FC2DFCFB35B4}">
  <dimension ref="A1:G25"/>
  <sheetViews>
    <sheetView tabSelected="1" workbookViewId="0">
      <selection activeCell="E22" sqref="E22"/>
    </sheetView>
  </sheetViews>
  <sheetFormatPr defaultRowHeight="15" x14ac:dyDescent="0.25"/>
  <sheetData>
    <row r="1" spans="1:6" x14ac:dyDescent="0.25">
      <c r="A1" t="s">
        <v>0</v>
      </c>
      <c r="C1" t="s">
        <v>2</v>
      </c>
      <c r="D1" t="s">
        <v>3</v>
      </c>
      <c r="F1" t="s">
        <v>24</v>
      </c>
    </row>
    <row r="2" spans="1:6" x14ac:dyDescent="0.25">
      <c r="A2" t="s">
        <v>1</v>
      </c>
      <c r="C2">
        <v>4.82</v>
      </c>
      <c r="D2">
        <f>(C2*4)</f>
        <v>19.28</v>
      </c>
      <c r="F2">
        <v>17</v>
      </c>
    </row>
    <row r="3" spans="1:6" x14ac:dyDescent="0.25">
      <c r="A3" t="s">
        <v>4</v>
      </c>
      <c r="C3">
        <v>3.19</v>
      </c>
      <c r="D3">
        <f>(C3*4)</f>
        <v>12.76</v>
      </c>
      <c r="F3">
        <v>16</v>
      </c>
    </row>
    <row r="4" spans="1:6" x14ac:dyDescent="0.25">
      <c r="A4" t="s">
        <v>5</v>
      </c>
      <c r="C4">
        <v>1.19</v>
      </c>
      <c r="D4">
        <f>(4*C4)</f>
        <v>4.76</v>
      </c>
      <c r="F4">
        <v>4</v>
      </c>
    </row>
    <row r="5" spans="1:6" x14ac:dyDescent="0.25">
      <c r="A5" t="s">
        <v>6</v>
      </c>
      <c r="C5">
        <v>0</v>
      </c>
      <c r="D5">
        <f t="shared" ref="D5:D21" si="0">C5</f>
        <v>0</v>
      </c>
    </row>
    <row r="6" spans="1:6" x14ac:dyDescent="0.25">
      <c r="A6" t="s">
        <v>7</v>
      </c>
      <c r="C6">
        <v>0</v>
      </c>
      <c r="D6">
        <f t="shared" si="0"/>
        <v>0</v>
      </c>
    </row>
    <row r="7" spans="1:6" x14ac:dyDescent="0.25">
      <c r="A7" t="s">
        <v>8</v>
      </c>
      <c r="C7">
        <v>0</v>
      </c>
      <c r="D7">
        <f t="shared" si="0"/>
        <v>0</v>
      </c>
    </row>
    <row r="8" spans="1:6" x14ac:dyDescent="0.25">
      <c r="A8" t="s">
        <v>9</v>
      </c>
      <c r="C8">
        <v>0</v>
      </c>
      <c r="D8">
        <f t="shared" si="0"/>
        <v>0</v>
      </c>
    </row>
    <row r="9" spans="1:6" x14ac:dyDescent="0.25">
      <c r="A9" t="s">
        <v>10</v>
      </c>
      <c r="C9">
        <v>0</v>
      </c>
      <c r="D9">
        <f t="shared" si="0"/>
        <v>0</v>
      </c>
    </row>
    <row r="10" spans="1:6" x14ac:dyDescent="0.25">
      <c r="A10" t="s">
        <v>11</v>
      </c>
      <c r="C10">
        <v>0</v>
      </c>
      <c r="D10">
        <f t="shared" si="0"/>
        <v>0</v>
      </c>
    </row>
    <row r="11" spans="1:6" x14ac:dyDescent="0.25">
      <c r="A11" t="s">
        <v>12</v>
      </c>
      <c r="C11">
        <v>0</v>
      </c>
      <c r="D11">
        <f t="shared" si="0"/>
        <v>0</v>
      </c>
    </row>
    <row r="12" spans="1:6" x14ac:dyDescent="0.25">
      <c r="A12" t="s">
        <v>13</v>
      </c>
      <c r="C12">
        <v>48.3</v>
      </c>
      <c r="D12">
        <f t="shared" si="0"/>
        <v>48.3</v>
      </c>
      <c r="F12">
        <v>48.3</v>
      </c>
    </row>
    <row r="13" spans="1:6" x14ac:dyDescent="0.25">
      <c r="A13" t="s">
        <v>26</v>
      </c>
      <c r="C13">
        <v>18.3</v>
      </c>
      <c r="D13">
        <v>110</v>
      </c>
      <c r="F13">
        <v>110</v>
      </c>
    </row>
    <row r="14" spans="1:6" x14ac:dyDescent="0.25">
      <c r="A14" t="s">
        <v>14</v>
      </c>
      <c r="C14">
        <v>22</v>
      </c>
      <c r="D14">
        <f t="shared" si="0"/>
        <v>22</v>
      </c>
      <c r="F14">
        <v>22</v>
      </c>
    </row>
    <row r="15" spans="1:6" x14ac:dyDescent="0.25">
      <c r="A15" t="s">
        <v>15</v>
      </c>
      <c r="C15">
        <v>12</v>
      </c>
      <c r="D15">
        <f t="shared" si="0"/>
        <v>12</v>
      </c>
      <c r="F15">
        <v>12</v>
      </c>
    </row>
    <row r="16" spans="1:6" x14ac:dyDescent="0.25">
      <c r="A16" t="s">
        <v>16</v>
      </c>
      <c r="C16">
        <v>14</v>
      </c>
      <c r="D16">
        <f t="shared" si="0"/>
        <v>14</v>
      </c>
      <c r="F16">
        <v>14</v>
      </c>
    </row>
    <row r="17" spans="1:7" x14ac:dyDescent="0.25">
      <c r="A17" t="s">
        <v>17</v>
      </c>
      <c r="C17">
        <v>27</v>
      </c>
      <c r="D17">
        <f t="shared" si="0"/>
        <v>27</v>
      </c>
      <c r="F17">
        <v>27</v>
      </c>
    </row>
    <row r="18" spans="1:7" x14ac:dyDescent="0.25">
      <c r="A18" t="s">
        <v>18</v>
      </c>
      <c r="C18">
        <v>3</v>
      </c>
      <c r="D18">
        <f t="shared" si="0"/>
        <v>3</v>
      </c>
      <c r="F18">
        <v>3</v>
      </c>
    </row>
    <row r="19" spans="1:7" x14ac:dyDescent="0.25">
      <c r="A19" t="s">
        <v>19</v>
      </c>
      <c r="C19">
        <v>4</v>
      </c>
      <c r="D19">
        <f t="shared" si="0"/>
        <v>4</v>
      </c>
    </row>
    <row r="20" spans="1:7" x14ac:dyDescent="0.25">
      <c r="A20" t="s">
        <v>20</v>
      </c>
      <c r="C20">
        <v>32</v>
      </c>
      <c r="D20">
        <f t="shared" si="0"/>
        <v>32</v>
      </c>
      <c r="F20">
        <v>51</v>
      </c>
      <c r="G20" t="s">
        <v>25</v>
      </c>
    </row>
    <row r="21" spans="1:7" x14ac:dyDescent="0.25">
      <c r="A21" t="s">
        <v>21</v>
      </c>
      <c r="C21">
        <v>18</v>
      </c>
      <c r="D21">
        <f t="shared" si="0"/>
        <v>18</v>
      </c>
    </row>
    <row r="22" spans="1:7" x14ac:dyDescent="0.25">
      <c r="A22" t="s">
        <v>22</v>
      </c>
      <c r="C22">
        <v>9.8398000000000003</v>
      </c>
      <c r="D22">
        <f>C22*2</f>
        <v>19.679600000000001</v>
      </c>
      <c r="F22">
        <v>40</v>
      </c>
    </row>
    <row r="23" spans="1:7" x14ac:dyDescent="0.25">
      <c r="D23">
        <f>SUM(D2:D22)</f>
        <v>346.77960000000002</v>
      </c>
      <c r="F23">
        <f>SUM(F2:F22)</f>
        <v>364.3</v>
      </c>
    </row>
    <row r="25" spans="1:7" x14ac:dyDescent="0.25">
      <c r="A2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183A-1514-42ED-985A-B308938C64AA}">
  <dimension ref="A1:E18"/>
  <sheetViews>
    <sheetView workbookViewId="0">
      <selection sqref="A1:E18"/>
    </sheetView>
  </sheetViews>
  <sheetFormatPr defaultRowHeight="15" x14ac:dyDescent="0.25"/>
  <sheetData>
    <row r="1" spans="1:5" x14ac:dyDescent="0.25">
      <c r="A1" s="1" t="s">
        <v>27</v>
      </c>
      <c r="B1" s="1" t="s">
        <v>28</v>
      </c>
      <c r="C1" s="1" t="s">
        <v>29</v>
      </c>
    </row>
    <row r="2" spans="1:5" x14ac:dyDescent="0.25">
      <c r="A2" t="s">
        <v>30</v>
      </c>
      <c r="B2">
        <v>367</v>
      </c>
      <c r="C2">
        <v>1</v>
      </c>
    </row>
    <row r="4" spans="1:5" x14ac:dyDescent="0.25">
      <c r="A4" t="s">
        <v>31</v>
      </c>
      <c r="B4">
        <v>14</v>
      </c>
      <c r="C4">
        <v>2</v>
      </c>
      <c r="D4">
        <f>C4*B4</f>
        <v>28</v>
      </c>
    </row>
    <row r="5" spans="1:5" x14ac:dyDescent="0.25">
      <c r="A5" t="s">
        <v>32</v>
      </c>
      <c r="B5">
        <v>7</v>
      </c>
      <c r="C5">
        <v>2</v>
      </c>
      <c r="D5">
        <f t="shared" ref="D5:D16" si="0">C5*B5</f>
        <v>14</v>
      </c>
    </row>
    <row r="6" spans="1:5" x14ac:dyDescent="0.25">
      <c r="A6" t="s">
        <v>33</v>
      </c>
      <c r="B6">
        <v>27</v>
      </c>
      <c r="C6">
        <v>1</v>
      </c>
      <c r="D6">
        <f t="shared" si="0"/>
        <v>27</v>
      </c>
    </row>
    <row r="7" spans="1:5" x14ac:dyDescent="0.25">
      <c r="A7" t="s">
        <v>34</v>
      </c>
      <c r="B7">
        <v>50</v>
      </c>
      <c r="C7">
        <v>1</v>
      </c>
      <c r="D7">
        <f t="shared" si="0"/>
        <v>50</v>
      </c>
      <c r="E7" t="s">
        <v>35</v>
      </c>
    </row>
    <row r="8" spans="1:5" x14ac:dyDescent="0.25">
      <c r="A8" t="s">
        <v>36</v>
      </c>
      <c r="B8">
        <v>11</v>
      </c>
      <c r="C8">
        <v>2</v>
      </c>
      <c r="D8">
        <f t="shared" si="0"/>
        <v>22</v>
      </c>
    </row>
    <row r="9" spans="1:5" x14ac:dyDescent="0.25">
      <c r="A9" t="s">
        <v>37</v>
      </c>
      <c r="B9">
        <v>12</v>
      </c>
      <c r="C9">
        <v>2</v>
      </c>
      <c r="D9">
        <f t="shared" si="0"/>
        <v>24</v>
      </c>
    </row>
    <row r="10" spans="1:5" x14ac:dyDescent="0.25">
      <c r="A10" t="s">
        <v>38</v>
      </c>
      <c r="B10">
        <v>40</v>
      </c>
      <c r="C10">
        <v>1</v>
      </c>
      <c r="D10">
        <f t="shared" si="0"/>
        <v>40</v>
      </c>
      <c r="E10" t="s">
        <v>39</v>
      </c>
    </row>
    <row r="11" spans="1:5" x14ac:dyDescent="0.25">
      <c r="A11" t="s">
        <v>40</v>
      </c>
      <c r="B11">
        <v>14</v>
      </c>
      <c r="C11">
        <v>1</v>
      </c>
      <c r="D11">
        <f t="shared" si="0"/>
        <v>14</v>
      </c>
    </row>
    <row r="12" spans="1:5" x14ac:dyDescent="0.25">
      <c r="A12" t="s">
        <v>41</v>
      </c>
      <c r="B12">
        <v>4</v>
      </c>
      <c r="C12">
        <v>1</v>
      </c>
      <c r="D12">
        <f t="shared" si="0"/>
        <v>4</v>
      </c>
    </row>
    <row r="13" spans="1:5" x14ac:dyDescent="0.25">
      <c r="A13" t="s">
        <v>42</v>
      </c>
      <c r="B13">
        <v>3</v>
      </c>
      <c r="C13">
        <v>1</v>
      </c>
      <c r="D13">
        <f t="shared" si="0"/>
        <v>3</v>
      </c>
    </row>
    <row r="14" spans="1:5" x14ac:dyDescent="0.25">
      <c r="A14" t="s">
        <v>43</v>
      </c>
      <c r="B14">
        <v>7</v>
      </c>
      <c r="C14">
        <v>4</v>
      </c>
      <c r="D14">
        <f t="shared" si="0"/>
        <v>28</v>
      </c>
    </row>
    <row r="15" spans="1:5" x14ac:dyDescent="0.25">
      <c r="A15" t="s">
        <v>44</v>
      </c>
      <c r="B15">
        <v>1</v>
      </c>
      <c r="C15">
        <v>4</v>
      </c>
      <c r="D15">
        <f t="shared" si="0"/>
        <v>4</v>
      </c>
    </row>
    <row r="16" spans="1:5" x14ac:dyDescent="0.25">
      <c r="A16" t="s">
        <v>45</v>
      </c>
      <c r="B16">
        <v>17</v>
      </c>
      <c r="C16">
        <v>6</v>
      </c>
      <c r="D16">
        <f t="shared" si="0"/>
        <v>102</v>
      </c>
    </row>
    <row r="18" spans="3:4" x14ac:dyDescent="0.25">
      <c r="C18" s="1" t="s">
        <v>46</v>
      </c>
      <c r="D18">
        <f>SUM(D4:D16)</f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Model_Part_Weights</vt:lpstr>
      <vt:lpstr>Measurements 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 Joehr</dc:creator>
  <cp:lastModifiedBy>Res Joehr</cp:lastModifiedBy>
  <dcterms:created xsi:type="dcterms:W3CDTF">2025-07-02T14:20:46Z</dcterms:created>
  <dcterms:modified xsi:type="dcterms:W3CDTF">2026-01-14T15:09:20Z</dcterms:modified>
</cp:coreProperties>
</file>